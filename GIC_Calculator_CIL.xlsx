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C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sz val="11"/>
    </font>
    <font>
      <name val="Arial"/>
      <b val="1"/>
      <color rgb="00006100"/>
      <sz val="11"/>
    </font>
    <font>
      <name val="Arial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0" pivotButton="0" quotePrefix="0" xfId="0"/>
    <xf numFmtId="2" fontId="4" fillId="5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2" fontId="0" fillId="4" borderId="1" pivotButton="0" quotePrefix="0" xfId="0"/>
    <xf numFmtId="3" fontId="0" fillId="4" borderId="1" pivotButton="0" quotePrefix="0" xfId="0"/>
    <xf numFmtId="2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4" fillId="7" borderId="1" pivotButton="0" quotePrefix="0" xfId="0"/>
    <xf numFmtId="0" fontId="0" fillId="8" borderId="1" pivotButton="0" quotePrefix="0" xfId="0"/>
    <xf numFmtId="3" fontId="0" fillId="8" borderId="1" pivotButton="0" quotePrefix="0" xfId="0"/>
    <xf numFmtId="164" fontId="0" fillId="8" borderId="1" pivotButton="0" quotePrefix="0" xfId="0"/>
    <xf numFmtId="0" fontId="2" fillId="9" borderId="1" pivotButton="0" quotePrefix="0" xfId="0"/>
    <xf numFmtId="3" fontId="2" fillId="9" borderId="1" pivotButton="0" quotePrefix="0" xfId="0"/>
    <xf numFmtId="164" fontId="2" fillId="9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8" fillId="0" borderId="1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</cols>
  <sheetData>
    <row r="1" ht="35" customHeight="1">
      <c r="A1" s="1" t="inlineStr">
        <is>
          <t>GIC — GOLD IN CIRCUIT CALCULATOR (CIL PLANT)</t>
        </is>
      </c>
    </row>
    <row r="3">
      <c r="A3" s="2" t="inlineStr">
        <is>
          <t>PLANT PARAMETERS</t>
        </is>
      </c>
    </row>
    <row r="4">
      <c r="A4" s="3" t="inlineStr">
        <is>
          <t>Slurry Feed Rate (dry)</t>
        </is>
      </c>
      <c r="B4" s="4" t="n">
        <v>150</v>
      </c>
      <c r="C4" s="5" t="inlineStr">
        <is>
          <t>t/h</t>
        </is>
      </c>
    </row>
    <row r="5">
      <c r="A5" s="3" t="inlineStr">
        <is>
          <t>Slurry SG</t>
        </is>
      </c>
      <c r="B5" s="4" t="n">
        <v>1.45</v>
      </c>
      <c r="C5" s="5" t="inlineStr">
        <is>
          <t>t/m³</t>
        </is>
      </c>
    </row>
    <row r="6">
      <c r="A6" s="3" t="inlineStr">
        <is>
          <t>Slurry % Solids (w/w)</t>
        </is>
      </c>
      <c r="B6" s="4" t="n">
        <v>45</v>
      </c>
      <c r="C6" s="5" t="inlineStr">
        <is>
          <t>%</t>
        </is>
      </c>
    </row>
    <row r="7">
      <c r="A7" s="3" t="inlineStr">
        <is>
          <t>Head Grade (Feed to CIL)</t>
        </is>
      </c>
      <c r="B7" s="4" t="n">
        <v>2.5</v>
      </c>
      <c r="C7" s="5" t="inlineStr">
        <is>
          <t>g/t</t>
        </is>
      </c>
    </row>
    <row r="8">
      <c r="A8" s="3" t="inlineStr">
        <is>
          <t>Tail Grade (CIL Discharge)</t>
        </is>
      </c>
      <c r="B8" s="4" t="n">
        <v>0.15</v>
      </c>
      <c r="C8" s="5" t="inlineStr">
        <is>
          <t>g/t</t>
        </is>
      </c>
    </row>
    <row r="9">
      <c r="A9" s="3" t="inlineStr">
        <is>
          <t>Number of CIL Tanks</t>
        </is>
      </c>
      <c r="B9" s="4" t="n">
        <v>6</v>
      </c>
      <c r="C9" s="5" t="inlineStr"/>
    </row>
    <row r="10">
      <c r="A10" s="3" t="inlineStr">
        <is>
          <t>Tank Volume (each)</t>
        </is>
      </c>
      <c r="B10" s="4" t="n">
        <v>500</v>
      </c>
      <c r="C10" s="5" t="inlineStr">
        <is>
          <t>m³</t>
        </is>
      </c>
    </row>
    <row r="11">
      <c r="A11" s="3" t="inlineStr">
        <is>
          <t>Carbon Concentration</t>
        </is>
      </c>
      <c r="B11" s="4" t="n">
        <v>15</v>
      </c>
      <c r="C11" s="5" t="inlineStr">
        <is>
          <t>g/L slurry</t>
        </is>
      </c>
    </row>
    <row r="12">
      <c r="A12" s="3" t="inlineStr">
        <is>
          <t>Stripped Carbon Loading</t>
        </is>
      </c>
      <c r="B12" s="4" t="n">
        <v>200</v>
      </c>
      <c r="C12" s="5" t="inlineStr">
        <is>
          <t>g/t C (post-strip residual)</t>
        </is>
      </c>
    </row>
    <row r="13">
      <c r="A13" s="3" t="inlineStr">
        <is>
          <t>Overall Recovery</t>
        </is>
      </c>
      <c r="B13" s="6">
        <f>(1-B8/B7)*100</f>
        <v/>
      </c>
      <c r="C13" s="5" t="inlineStr">
        <is>
          <t>%</t>
        </is>
      </c>
    </row>
    <row r="14">
      <c r="A14" s="3" t="inlineStr">
        <is>
          <t>Slurry Volume Flow</t>
        </is>
      </c>
      <c r="B14" s="6">
        <f>B4/(B5*B6/100)</f>
        <v/>
      </c>
      <c r="C14" s="5" t="inlineStr">
        <is>
          <t>m³/h</t>
        </is>
      </c>
    </row>
    <row r="15">
      <c r="A15" s="3" t="inlineStr">
        <is>
          <t>Residence Time per Tank</t>
        </is>
      </c>
      <c r="B15" s="6">
        <f>B10/B14</f>
        <v/>
      </c>
      <c r="C15" s="5" t="inlineStr">
        <is>
          <t>hours</t>
        </is>
      </c>
    </row>
    <row r="16">
      <c r="A16" s="3" t="inlineStr">
        <is>
          <t>Total Residence Time</t>
        </is>
      </c>
      <c r="B16" s="6">
        <f>B15*B9</f>
        <v/>
      </c>
      <c r="C16" s="5" t="inlineStr">
        <is>
          <t>hours</t>
        </is>
      </c>
    </row>
    <row r="17">
      <c r="A17" s="3" t="inlineStr">
        <is>
          <t>Carbon Mass per Tank</t>
        </is>
      </c>
      <c r="B17" s="6">
        <f>B11*B10/1000</f>
        <v/>
      </c>
      <c r="C17" s="5" t="inlineStr">
        <is>
          <t>tonnes</t>
        </is>
      </c>
    </row>
    <row r="18">
      <c r="A18" s="3" t="inlineStr">
        <is>
          <t>Total Carbon in Circuit</t>
        </is>
      </c>
      <c r="B18" s="6">
        <f>B17*B9</f>
        <v/>
      </c>
      <c r="C18" s="5" t="inlineStr">
        <is>
          <t>tonnes</t>
        </is>
      </c>
    </row>
    <row r="19">
      <c r="A19" s="3" t="inlineStr">
        <is>
          <t>Daily Throughput</t>
        </is>
      </c>
      <c r="B19" s="6">
        <f>B4*24</f>
        <v/>
      </c>
      <c r="C19" s="5" t="inlineStr">
        <is>
          <t>t/day</t>
        </is>
      </c>
    </row>
    <row r="20">
      <c r="A20" s="3" t="inlineStr">
        <is>
          <t>Daily Gold Production</t>
        </is>
      </c>
      <c r="B20" s="6">
        <f>(B7-B8)*B19/31.1035</f>
        <v/>
      </c>
      <c r="C20" s="5" t="inlineStr">
        <is>
          <t>oz/day</t>
        </is>
      </c>
    </row>
    <row r="22" ht="25" customHeight="1">
      <c r="A22" s="2" t="inlineStr">
        <is>
          <t>TANK-BY-TANK GOLD INVENTORY</t>
        </is>
      </c>
    </row>
    <row r="23" ht="35" customHeight="1">
      <c r="A23" s="7" t="inlineStr">
        <is>
          <t>Tank #</t>
        </is>
      </c>
      <c r="B23" s="7" t="inlineStr">
        <is>
          <t>Solution Au
(mg/L)</t>
        </is>
      </c>
      <c r="C23" s="7" t="inlineStr">
        <is>
          <t>Carbon Loading
(g/t C)</t>
        </is>
      </c>
      <c r="D23" s="7" t="inlineStr">
        <is>
          <t>Carbon Mass
(t)</t>
        </is>
      </c>
      <c r="E23" s="7" t="inlineStr">
        <is>
          <t>Slurry Vol
(m³)</t>
        </is>
      </c>
      <c r="F23" s="7" t="inlineStr">
        <is>
          <t>Au on Carbon
(grams)</t>
        </is>
      </c>
      <c r="G23" s="7" t="inlineStr">
        <is>
          <t>Au in Solution
(grams)</t>
        </is>
      </c>
      <c r="H23" s="7" t="inlineStr">
        <is>
          <t>Solids Grade Est
(g/t)</t>
        </is>
      </c>
      <c r="I23" s="7" t="inlineStr">
        <is>
          <t>Au in Solids
(grams)</t>
        </is>
      </c>
    </row>
    <row r="24">
      <c r="A24" s="8" t="n">
        <v>1</v>
      </c>
      <c r="B24" s="9" t="n">
        <v>1.8</v>
      </c>
      <c r="C24" s="10" t="n">
        <v>8000</v>
      </c>
      <c r="D24" s="11">
        <f>$B$17</f>
        <v/>
      </c>
      <c r="E24" s="12">
        <f>$B$10</f>
        <v/>
      </c>
      <c r="F24" s="13">
        <f>C24*D24</f>
        <v/>
      </c>
      <c r="G24" s="13">
        <f>B24*E24</f>
        <v/>
      </c>
      <c r="H24" s="9" t="n">
        <v>1.8</v>
      </c>
      <c r="I24" s="13">
        <f>H24*E24*$B$5*$B$6/100</f>
        <v/>
      </c>
    </row>
    <row r="25">
      <c r="A25" s="8" t="n">
        <v>2</v>
      </c>
      <c r="B25" s="9" t="n">
        <v>1.2</v>
      </c>
      <c r="C25" s="10" t="n">
        <v>5500</v>
      </c>
      <c r="D25" s="11">
        <f>$B$17</f>
        <v/>
      </c>
      <c r="E25" s="12">
        <f>$B$10</f>
        <v/>
      </c>
      <c r="F25" s="13">
        <f>C25*D25</f>
        <v/>
      </c>
      <c r="G25" s="13">
        <f>B25*E25</f>
        <v/>
      </c>
      <c r="H25" s="9" t="n">
        <v>1.2</v>
      </c>
      <c r="I25" s="13">
        <f>H25*E25*$B$5*$B$6/100</f>
        <v/>
      </c>
    </row>
    <row r="26">
      <c r="A26" s="8" t="n">
        <v>3</v>
      </c>
      <c r="B26" s="9" t="n">
        <v>0.7</v>
      </c>
      <c r="C26" s="10" t="n">
        <v>3500</v>
      </c>
      <c r="D26" s="11">
        <f>$B$17</f>
        <v/>
      </c>
      <c r="E26" s="12">
        <f>$B$10</f>
        <v/>
      </c>
      <c r="F26" s="13">
        <f>C26*D26</f>
        <v/>
      </c>
      <c r="G26" s="13">
        <f>B26*E26</f>
        <v/>
      </c>
      <c r="H26" s="9" t="n">
        <v>0.7</v>
      </c>
      <c r="I26" s="13">
        <f>H26*E26*$B$5*$B$6/100</f>
        <v/>
      </c>
    </row>
    <row r="27">
      <c r="A27" s="8" t="n">
        <v>4</v>
      </c>
      <c r="B27" s="9" t="n">
        <v>0.35</v>
      </c>
      <c r="C27" s="10" t="n">
        <v>2000</v>
      </c>
      <c r="D27" s="11">
        <f>$B$17</f>
        <v/>
      </c>
      <c r="E27" s="12">
        <f>$B$10</f>
        <v/>
      </c>
      <c r="F27" s="13">
        <f>C27*D27</f>
        <v/>
      </c>
      <c r="G27" s="13">
        <f>B27*E27</f>
        <v/>
      </c>
      <c r="H27" s="9" t="n">
        <v>0.4</v>
      </c>
      <c r="I27" s="13">
        <f>H27*E27*$B$5*$B$6/100</f>
        <v/>
      </c>
    </row>
    <row r="28">
      <c r="A28" s="8" t="n">
        <v>5</v>
      </c>
      <c r="B28" s="9" t="n">
        <v>0.18</v>
      </c>
      <c r="C28" s="10" t="n">
        <v>1000</v>
      </c>
      <c r="D28" s="11">
        <f>$B$17</f>
        <v/>
      </c>
      <c r="E28" s="12">
        <f>$B$10</f>
        <v/>
      </c>
      <c r="F28" s="13">
        <f>C28*D28</f>
        <v/>
      </c>
      <c r="G28" s="13">
        <f>B28*E28</f>
        <v/>
      </c>
      <c r="H28" s="9" t="n">
        <v>0.25</v>
      </c>
      <c r="I28" s="13">
        <f>H28*E28*$B$5*$B$6/100</f>
        <v/>
      </c>
    </row>
    <row r="29">
      <c r="A29" s="8" t="n">
        <v>6</v>
      </c>
      <c r="B29" s="9" t="n">
        <v>0.08</v>
      </c>
      <c r="C29" s="10" t="n">
        <v>400</v>
      </c>
      <c r="D29" s="11">
        <f>$B$17</f>
        <v/>
      </c>
      <c r="E29" s="12">
        <f>$B$10</f>
        <v/>
      </c>
      <c r="F29" s="13">
        <f>C29*D29</f>
        <v/>
      </c>
      <c r="G29" s="13">
        <f>B29*E29</f>
        <v/>
      </c>
      <c r="H29" s="9" t="n">
        <v>0.15</v>
      </c>
      <c r="I29" s="13">
        <f>H29*E29*$B$5*$B$6/100</f>
        <v/>
      </c>
    </row>
    <row r="30">
      <c r="A30" s="14" t="inlineStr">
        <is>
          <t>TOTALS</t>
        </is>
      </c>
      <c r="B30" s="14" t="n"/>
      <c r="C30" s="14" t="n"/>
      <c r="D30" s="15">
        <f>SUM(D24:D29)</f>
        <v/>
      </c>
      <c r="E30" s="14" t="n"/>
      <c r="F30" s="15">
        <f>SUM(F24:F29)</f>
        <v/>
      </c>
      <c r="G30" s="15">
        <f>SUM(G24:G29)</f>
        <v/>
      </c>
      <c r="H30" s="14" t="n"/>
      <c r="I30" s="15">
        <f>SUM(I24:I29)</f>
        <v/>
      </c>
    </row>
    <row r="32" ht="25" customHeight="1">
      <c r="A32" s="2" t="inlineStr">
        <is>
          <t>GIC SUMMARY</t>
        </is>
      </c>
    </row>
    <row r="33">
      <c r="A33" s="16" t="inlineStr">
        <is>
          <t>Component</t>
        </is>
      </c>
      <c r="B33" s="16" t="inlineStr">
        <is>
          <t>Gold (grams)</t>
        </is>
      </c>
      <c r="C33" s="16" t="inlineStr">
        <is>
          <t>Gold (troy oz)</t>
        </is>
      </c>
    </row>
    <row r="34">
      <c r="A34" s="17" t="inlineStr">
        <is>
          <t>Au on Carbon</t>
        </is>
      </c>
      <c r="B34" s="18">
        <f>F30</f>
        <v/>
      </c>
      <c r="C34" s="19">
        <f>B34/31.1035</f>
        <v/>
      </c>
    </row>
    <row r="35">
      <c r="A35" s="17" t="inlineStr">
        <is>
          <t>Au in Solution</t>
        </is>
      </c>
      <c r="B35" s="18">
        <f>G30</f>
        <v/>
      </c>
      <c r="C35" s="19">
        <f>B35/31.1035</f>
        <v/>
      </c>
    </row>
    <row r="36">
      <c r="A36" s="17" t="inlineStr">
        <is>
          <t>Au in Solids/Slurry</t>
        </is>
      </c>
      <c r="B36" s="18">
        <f>I30</f>
        <v/>
      </c>
      <c r="C36" s="19">
        <f>B36/31.1035</f>
        <v/>
      </c>
    </row>
    <row r="37">
      <c r="A37" s="20" t="inlineStr">
        <is>
          <t>TOTAL GOLD IN CIRCUIT</t>
        </is>
      </c>
      <c r="B37" s="21">
        <f>SUM(B34:B36)</f>
        <v/>
      </c>
      <c r="C37" s="22">
        <f>SUM(C34:C36)</f>
        <v/>
      </c>
    </row>
    <row r="39">
      <c r="A39" s="23" t="inlineStr">
        <is>
          <t>GIC as Days of Production</t>
        </is>
      </c>
      <c r="B39" s="24">
        <f>C37/B$20</f>
        <v/>
      </c>
      <c r="C39" s="5" t="inlineStr">
        <is>
          <t>days</t>
        </is>
      </c>
    </row>
    <row r="40">
      <c r="A40" s="23" t="inlineStr">
        <is>
          <t>GIC Value (at spot)</t>
        </is>
      </c>
      <c r="B40" s="25">
        <f>C37*B41</f>
        <v/>
      </c>
    </row>
    <row r="41">
      <c r="A41" s="3" t="inlineStr">
        <is>
          <t>Gold Price (USD/oz)</t>
        </is>
      </c>
      <c r="B41" s="10" t="n">
        <v>2900</v>
      </c>
    </row>
    <row r="43">
      <c r="A43" s="26" t="inlineStr">
        <is>
          <t>NOTES</t>
        </is>
      </c>
    </row>
    <row r="44">
      <c r="A44" s="27" t="inlineStr">
        <is>
          <t>• Yellow cells = user inputs. Green cells = calculated.</t>
        </is>
      </c>
    </row>
    <row r="45">
      <c r="A45" s="27" t="inlineStr">
        <is>
          <t>• Solution Au and Carbon Loading from lab assays (per tank sample).</t>
        </is>
      </c>
    </row>
    <row r="46">
      <c r="A46" s="27" t="inlineStr">
        <is>
          <t>• Solids grade estimated from tail screen / solid assays per tank.</t>
        </is>
      </c>
    </row>
    <row r="47">
      <c r="A47" s="27" t="inlineStr">
        <is>
          <t>• Carbon mass assumes uniform distribution across tanks.</t>
        </is>
      </c>
    </row>
    <row r="48">
      <c r="A48" s="27" t="inlineStr">
        <is>
          <t>• Update after each GIC survey (weekly recommended).</t>
        </is>
      </c>
    </row>
    <row r="49">
      <c r="A49" s="27" t="inlineStr">
        <is>
          <t>• 1 troy oz = 31.1035 grams.</t>
        </is>
      </c>
    </row>
  </sheetData>
  <mergeCells count="4">
    <mergeCell ref="A1:I1"/>
    <mergeCell ref="A32:C32"/>
    <mergeCell ref="A3:C3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2026-02-15T13:41:01Z</dcterms:created>
  <dcterms:modified xsi:type="dcterms:W3CDTF">2026-02-15T13:41:01Z</dcterms:modified>
</cp:coreProperties>
</file>